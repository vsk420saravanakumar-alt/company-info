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\Downloads\"/>
    </mc:Choice>
  </mc:AlternateContent>
  <xr:revisionPtr revIDLastSave="0" documentId="8_{0195F43E-F9F0-496C-BA27-73BE168E8FEB}" xr6:coauthVersionLast="47" xr6:coauthVersionMax="47" xr10:uidLastSave="{00000000-0000-0000-0000-000000000000}"/>
  <bookViews>
    <workbookView xWindow="-110" yWindow="-110" windowWidth="19420" windowHeight="10300" xr2:uid="{802D0516-AC0C-41DB-AA34-63A7AD4A6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 a="1"/>
  <c r="C22" i="1" s="1"/>
  <c r="H21" i="1"/>
  <c r="G21" i="1"/>
  <c r="F21" i="1"/>
  <c r="E21" i="1"/>
  <c r="D21" i="1"/>
  <c r="H20" i="1"/>
  <c r="G20" i="1"/>
  <c r="F20" i="1"/>
  <c r="E20" i="1"/>
  <c r="D20" i="1"/>
  <c r="D19" i="1" a="1"/>
  <c r="D19" i="1" s="1"/>
  <c r="I13" i="1"/>
  <c r="I14" i="1"/>
  <c r="I15" i="1"/>
  <c r="I16" i="1"/>
  <c r="H13" i="1"/>
  <c r="H14" i="1"/>
  <c r="H15" i="1"/>
  <c r="H16" i="1"/>
  <c r="G13" i="1"/>
  <c r="G14" i="1"/>
  <c r="G15" i="1"/>
  <c r="G16" i="1"/>
  <c r="F13" i="1"/>
  <c r="F14" i="1"/>
  <c r="F15" i="1"/>
  <c r="F16" i="1"/>
  <c r="I12" i="1"/>
  <c r="H12" i="1"/>
  <c r="G12" i="1"/>
  <c r="F12" i="1"/>
  <c r="E12" i="1"/>
  <c r="E13" i="1"/>
  <c r="E14" i="1"/>
  <c r="E15" i="1"/>
  <c r="E16" i="1"/>
  <c r="H11" i="1"/>
  <c r="G11" i="1"/>
  <c r="F11" i="1"/>
  <c r="E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<sst xmlns="http://schemas.openxmlformats.org/spreadsheetml/2006/main" count="31" uniqueCount="23">
  <si>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Tata Consultancy Services</t>
  </si>
  <si>
    <t>ICICI Bank</t>
  </si>
  <si>
    <t>Infosys</t>
  </si>
  <si>
    <t>Bharti Airtel</t>
  </si>
  <si>
    <t>Wipro</t>
  </si>
  <si>
    <t>Historical Share Price Analysis</t>
  </si>
  <si>
    <t xml:space="preserve">Company Name </t>
  </si>
  <si>
    <t>Current Price</t>
  </si>
  <si>
    <t>1st year ago</t>
  </si>
  <si>
    <t>2nd year ago</t>
  </si>
  <si>
    <t>3rd year ago</t>
  </si>
  <si>
    <t>4th year ago</t>
  </si>
  <si>
    <t>5th year ago</t>
  </si>
  <si>
    <t>Sl No</t>
  </si>
  <si>
    <t>alue of rs 1000000 invested today</t>
  </si>
  <si>
    <t>sno</t>
  </si>
  <si>
    <t>current price</t>
  </si>
  <si>
    <t>amount invested</t>
  </si>
  <si>
    <t>comparision with fixed return invesment</t>
  </si>
  <si>
    <t>invesment type</t>
  </si>
  <si>
    <t>fixed deposit (7%)</t>
  </si>
  <si>
    <t>saving account (3%)</t>
  </si>
  <si>
    <t>best performing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</si>
</sst>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vertical="center" wrapText="1"/>
    </xf>
    <xf numFmtId="1" fontId="0" fillId="0" borderId="0" xfId="0" applyNumberForma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21D-43C7-44CA-B2F6-15383977F93B}">
  <dimension ref="A1:L23"/>
  <sheetViews>
    <sheetView tabSelected="1" zoomScale="75" zoomScaleNormal="70" workbookViewId="0">
      <selection activeCell="M16" sqref="M16"/>
    </sheetView>
  </sheetViews>
  <sheetFormatPr defaultRowHeight="14.5" x14ac:dyDescent="0.35"/>
  <cols>
    <col min="1" max="1" width="12.7265625" customWidth="1"/>
    <col min="2" max="2" width="45.81640625" customWidth="1"/>
    <col min="3" max="3" width="23.26953125" customWidth="1"/>
    <col min="4" max="4" width="19.36328125" customWidth="1"/>
    <col min="5" max="5" width="18.36328125" customWidth="1"/>
    <col min="6" max="6" width="18.6328125" customWidth="1"/>
    <col min="7" max="7" width="18.7265625" customWidth="1"/>
    <col min="8" max="8" width="15.7265625" customWidth="1"/>
    <col min="9" max="9" width="10.6328125" bestFit="1" customWidth="1"/>
  </cols>
  <sheetData>
    <row r="1" spans="1:12" ht="14.5" customHeight="1" x14ac:dyDescent="0.35">
      <c r="A1" s="6" t="s">
        <v>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</row>
    <row r="2" spans="1:12" x14ac:dyDescent="0.35">
      <c r="A2" s="6"/>
      <c r="B2" s="6"/>
      <c r="C2" s="6"/>
      <c r="D2" s="6"/>
      <c r="E2" s="6"/>
      <c r="F2" s="6"/>
      <c r="G2" s="6"/>
      <c r="H2" s="6"/>
      <c r="I2" s="5"/>
      <c r="J2" s="5"/>
      <c r="K2" s="5"/>
      <c r="L2" s="5"/>
    </row>
    <row r="3" spans="1:12" ht="18.5" x14ac:dyDescent="0.35">
      <c r="A3" s="7" t="s">
        <v>13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2"/>
      <c r="J3" s="2"/>
      <c r="K3" s="2"/>
      <c r="L3" s="2"/>
    </row>
    <row r="4" spans="1:12" x14ac:dyDescent="0.35">
      <c r="A4" s="9">
        <v>1</v>
      </c>
      <c r="B4" s="10" t="s">
        <v>0</v>
      </c>
      <c r="C4" s="11">
        <v>2095.9</v>
      </c>
      <c r="D4" s="12">
        <v>2959.95</v>
      </c>
      <c r="E4" s="12">
        <v>4097.1499999999996</v>
      </c>
      <c r="F4" s="12">
        <v>3794.75</v>
      </c>
      <c r="G4" s="12">
        <v>3268.1</v>
      </c>
      <c r="H4" s="12">
        <v>3859.05</v>
      </c>
      <c r="I4" s="2"/>
      <c r="J4" s="2"/>
      <c r="K4" s="2"/>
      <c r="L4" s="2"/>
    </row>
    <row r="5" spans="1:12" x14ac:dyDescent="0.35">
      <c r="A5" s="9">
        <v>2</v>
      </c>
      <c r="B5" s="10" t="s">
        <v>1</v>
      </c>
      <c r="C5" s="11">
        <v>1495.4</v>
      </c>
      <c r="D5" s="12">
        <v>1383.2</v>
      </c>
      <c r="E5" s="12">
        <v>1256.3</v>
      </c>
      <c r="F5" s="12">
        <v>995.15</v>
      </c>
      <c r="G5" s="12">
        <v>890.2</v>
      </c>
      <c r="H5" s="12">
        <v>739.1</v>
      </c>
      <c r="I5" s="2"/>
      <c r="J5" s="2"/>
      <c r="K5" s="2"/>
      <c r="L5" s="2"/>
    </row>
    <row r="6" spans="1:12" x14ac:dyDescent="0.35">
      <c r="A6" s="9">
        <v>3</v>
      </c>
      <c r="B6" s="10" t="s">
        <v>2</v>
      </c>
      <c r="C6" s="11">
        <v>1034</v>
      </c>
      <c r="D6" s="12">
        <v>1487.2</v>
      </c>
      <c r="E6" s="12">
        <v>1905.45</v>
      </c>
      <c r="F6" s="12">
        <v>1562.95</v>
      </c>
      <c r="G6" s="12">
        <v>1507.5</v>
      </c>
      <c r="H6" s="12">
        <v>1897.75</v>
      </c>
      <c r="I6" s="2"/>
      <c r="J6" s="2"/>
      <c r="K6" s="2"/>
      <c r="L6" s="2"/>
    </row>
    <row r="7" spans="1:12" x14ac:dyDescent="0.35">
      <c r="A7" s="9">
        <v>4</v>
      </c>
      <c r="B7" s="10" t="s">
        <v>3</v>
      </c>
      <c r="C7" s="11">
        <v>1871</v>
      </c>
      <c r="D7" s="12">
        <v>1948.2</v>
      </c>
      <c r="E7" s="12">
        <v>1607.1</v>
      </c>
      <c r="F7" s="12">
        <v>1036.5999999999999</v>
      </c>
      <c r="G7" s="12">
        <v>814.75</v>
      </c>
      <c r="H7" s="12">
        <v>713.35</v>
      </c>
      <c r="I7" s="2"/>
      <c r="J7" s="2"/>
      <c r="K7" s="2"/>
      <c r="L7" s="2"/>
    </row>
    <row r="8" spans="1:12" x14ac:dyDescent="0.35">
      <c r="A8" s="9">
        <v>5</v>
      </c>
      <c r="B8" s="10" t="s">
        <v>4</v>
      </c>
      <c r="C8" s="10">
        <v>170.13</v>
      </c>
      <c r="D8" s="12">
        <v>300.10000000000002</v>
      </c>
      <c r="E8" s="12">
        <v>294.95</v>
      </c>
      <c r="F8" s="12">
        <v>470.85</v>
      </c>
      <c r="G8" s="12">
        <v>393.2</v>
      </c>
      <c r="H8" s="12">
        <v>715.3</v>
      </c>
      <c r="I8" s="2"/>
      <c r="J8" s="2"/>
      <c r="K8" s="2"/>
      <c r="L8" s="2"/>
    </row>
    <row r="9" spans="1:12" x14ac:dyDescent="0.35">
      <c r="A9" s="4" t="s">
        <v>14</v>
      </c>
      <c r="B9" s="4"/>
      <c r="C9" s="4"/>
      <c r="D9" s="4"/>
      <c r="E9" s="4"/>
      <c r="F9" s="4"/>
      <c r="G9" s="4"/>
      <c r="H9" s="4"/>
      <c r="I9" s="4"/>
      <c r="J9" s="3"/>
      <c r="K9" s="3"/>
      <c r="L9" s="3"/>
    </row>
    <row r="10" spans="1:12" x14ac:dyDescent="0.35">
      <c r="A10" s="4"/>
      <c r="B10" s="4"/>
      <c r="C10" s="4"/>
      <c r="D10" s="4"/>
      <c r="E10" s="4"/>
      <c r="F10" s="4"/>
      <c r="G10" s="4"/>
      <c r="H10" s="4"/>
      <c r="I10" s="4"/>
      <c r="J10" s="3"/>
      <c r="K10" s="3"/>
      <c r="L10" s="3"/>
    </row>
    <row r="11" spans="1:12" x14ac:dyDescent="0.35">
      <c r="A11" t="s">
        <v>15</v>
      </c>
      <c r="B11" s="3" t="s">
        <v>6</v>
      </c>
      <c r="C11" s="3" t="s">
        <v>16</v>
      </c>
      <c r="D11" s="3" t="s">
        <v>17</v>
      </c>
      <c r="E11" s="3" t="str">
        <f>D3</f>
        <v>1st year ago</v>
      </c>
      <c r="F11" s="3" t="str">
        <f>E3</f>
        <v>2nd year ago</v>
      </c>
      <c r="G11" s="3" t="str">
        <f>F3</f>
        <v>3rd year ago</v>
      </c>
      <c r="H11" s="3" t="str">
        <f>G3</f>
        <v>4th year ago</v>
      </c>
      <c r="I11" s="3" t="s">
        <v>12</v>
      </c>
      <c r="J11" s="3"/>
      <c r="K11" s="3"/>
      <c r="L11" s="3"/>
    </row>
    <row r="12" spans="1:12" x14ac:dyDescent="0.35">
      <c r="A12" s="9">
        <v>1</v>
      </c>
      <c r="B12" s="10" t="s">
        <v>0</v>
      </c>
      <c r="C12" s="11">
        <v>2095.9</v>
      </c>
      <c r="D12" s="13">
        <v>100000</v>
      </c>
      <c r="E12">
        <f>D12*(C12/D4)</f>
        <v>70808.628524130472</v>
      </c>
      <c r="F12">
        <f>D12*(C12/E4)</f>
        <v>51155.07120803486</v>
      </c>
      <c r="G12">
        <f>D12*(C12/F4)</f>
        <v>55231.569932143102</v>
      </c>
      <c r="H12">
        <f>D12*(C12/G4)</f>
        <v>64132.064502310219</v>
      </c>
      <c r="I12">
        <f>D12*(C12/H4)</f>
        <v>54311.294230445317</v>
      </c>
    </row>
    <row r="13" spans="1:12" x14ac:dyDescent="0.35">
      <c r="A13" s="9">
        <v>2</v>
      </c>
      <c r="B13" s="10" t="s">
        <v>1</v>
      </c>
      <c r="C13" s="11">
        <v>1495.4</v>
      </c>
      <c r="D13" s="13">
        <v>100000</v>
      </c>
      <c r="E13">
        <f t="shared" ref="E13:E16" si="0">D13*(C13/D5)</f>
        <v>108111.62521688838</v>
      </c>
      <c r="F13">
        <f t="shared" ref="F13:F16" si="1">D13*(C13/E5)</f>
        <v>119032.07832524081</v>
      </c>
      <c r="G13">
        <f t="shared" ref="G13:G16" si="2">D13*(C13/F5)</f>
        <v>150268.80369793501</v>
      </c>
      <c r="H13">
        <f t="shared" ref="H13:H16" si="3">D13*(C13/G5)</f>
        <v>167984.72253426196</v>
      </c>
      <c r="I13">
        <f t="shared" ref="I13:I16" si="4">D13*(C13/H5)</f>
        <v>202327.15464754435</v>
      </c>
    </row>
    <row r="14" spans="1:12" x14ac:dyDescent="0.35">
      <c r="A14" s="9">
        <v>3</v>
      </c>
      <c r="B14" s="10" t="s">
        <v>2</v>
      </c>
      <c r="C14" s="11">
        <v>1034</v>
      </c>
      <c r="D14" s="13">
        <v>100000</v>
      </c>
      <c r="E14">
        <f t="shared" si="0"/>
        <v>69526.627218934911</v>
      </c>
      <c r="F14">
        <f t="shared" si="1"/>
        <v>54265.396625469053</v>
      </c>
      <c r="G14">
        <f t="shared" si="2"/>
        <v>66156.946799321799</v>
      </c>
      <c r="H14">
        <f t="shared" si="3"/>
        <v>68590.381426202322</v>
      </c>
      <c r="I14">
        <f t="shared" si="4"/>
        <v>54485.575023053614</v>
      </c>
    </row>
    <row r="15" spans="1:12" x14ac:dyDescent="0.35">
      <c r="A15" s="9">
        <v>4</v>
      </c>
      <c r="B15" s="10" t="s">
        <v>3</v>
      </c>
      <c r="C15" s="11">
        <v>1871</v>
      </c>
      <c r="D15" s="13">
        <v>100000</v>
      </c>
      <c r="E15">
        <f t="shared" si="0"/>
        <v>96037.367826711838</v>
      </c>
      <c r="F15">
        <f t="shared" si="1"/>
        <v>116420.88233464005</v>
      </c>
      <c r="G15">
        <f t="shared" si="2"/>
        <v>180493.92243874204</v>
      </c>
      <c r="H15">
        <f t="shared" si="3"/>
        <v>229640.99416999079</v>
      </c>
      <c r="I15">
        <f t="shared" si="4"/>
        <v>262283.59150487138</v>
      </c>
    </row>
    <row r="16" spans="1:12" x14ac:dyDescent="0.35">
      <c r="A16" s="9">
        <v>5</v>
      </c>
      <c r="B16" s="10" t="s">
        <v>4</v>
      </c>
      <c r="C16" s="10">
        <v>170.13</v>
      </c>
      <c r="D16" s="13">
        <v>100000</v>
      </c>
      <c r="E16">
        <f t="shared" si="0"/>
        <v>56691.102965678096</v>
      </c>
      <c r="F16">
        <f t="shared" si="1"/>
        <v>57680.962875063567</v>
      </c>
      <c r="G16">
        <f t="shared" si="2"/>
        <v>36132.526282255494</v>
      </c>
      <c r="H16">
        <f t="shared" si="3"/>
        <v>43268.056968463883</v>
      </c>
      <c r="I16">
        <f t="shared" si="4"/>
        <v>23784.42611491682</v>
      </c>
    </row>
    <row r="17" spans="2:9" x14ac:dyDescent="0.35">
      <c r="B17" s="1" t="s">
        <v>18</v>
      </c>
      <c r="C17" s="1"/>
      <c r="D17" s="1"/>
      <c r="E17" s="1"/>
      <c r="F17" s="1"/>
      <c r="G17" s="1"/>
      <c r="H17" s="1"/>
    </row>
    <row r="18" spans="2:9" x14ac:dyDescent="0.35">
      <c r="B18" s="1"/>
      <c r="C18" s="1"/>
      <c r="D18" s="1"/>
      <c r="E18" s="1"/>
      <c r="F18" s="1"/>
      <c r="G18" s="1"/>
      <c r="H18" s="1"/>
    </row>
    <row r="19" spans="2:9" x14ac:dyDescent="0.35">
      <c r="B19" s="14" t="s">
        <v>19</v>
      </c>
      <c r="C19" s="15" t="s">
        <v>17</v>
      </c>
      <c r="D19" s="16" t="str" cm="1">
        <f t="array" ref="D19:H19">E11:I11</f>
        <v>1st year ago</v>
      </c>
      <c r="E19" s="15" t="str">
        <v>2nd year ago</v>
      </c>
      <c r="F19" s="15" t="str">
        <v>3rd year ago</v>
      </c>
      <c r="G19" s="15" t="str">
        <v>4th year ago</v>
      </c>
      <c r="H19" s="15" t="str">
        <v>5th year ago</v>
      </c>
      <c r="I19" s="15"/>
    </row>
    <row r="20" spans="2:9" x14ac:dyDescent="0.35">
      <c r="B20" s="14" t="s">
        <v>21</v>
      </c>
      <c r="C20" s="15">
        <v>100000</v>
      </c>
      <c r="D20" s="15">
        <f>C20*(1+3%*1)</f>
        <v>103000</v>
      </c>
      <c r="E20" s="15">
        <f>D20*(1+3%*2)</f>
        <v>109180</v>
      </c>
      <c r="F20" s="15">
        <f>E20*(1+3%*3)</f>
        <v>119006.20000000001</v>
      </c>
      <c r="G20" s="15">
        <f>F20*(1+3%*4)</f>
        <v>133286.94400000002</v>
      </c>
      <c r="H20" s="15">
        <f>G20*(1+3%*5)</f>
        <v>153279.98560000001</v>
      </c>
      <c r="I20" s="15"/>
    </row>
    <row r="21" spans="2:9" x14ac:dyDescent="0.35">
      <c r="B21" s="14" t="s">
        <v>20</v>
      </c>
      <c r="C21" s="15">
        <v>100001</v>
      </c>
      <c r="D21" s="15">
        <f>C21*(1+7%*1)</f>
        <v>107001.07</v>
      </c>
      <c r="E21" s="15">
        <f>D21*(1+7%*2)</f>
        <v>121981.21980000002</v>
      </c>
      <c r="F21" s="15">
        <f>E21*(1+7%*3)</f>
        <v>147597.27595800001</v>
      </c>
      <c r="G21" s="15">
        <f>F21*(1+7%*4)</f>
        <v>188924.51322624003</v>
      </c>
      <c r="H21" s="15">
        <f>G21*(1+7%*5)</f>
        <v>255048.09285542407</v>
      </c>
      <c r="I21" s="15"/>
    </row>
    <row r="22" spans="2:9" x14ac:dyDescent="0.35">
      <c r="B22" s="14" t="s">
        <v>22</v>
      </c>
      <c r="C22" s="15" cm="1">
        <f t="array" ref="C22:H22">C8:H8</f>
        <v>170.13</v>
      </c>
      <c r="D22" s="15">
        <v>300.10000000000002</v>
      </c>
      <c r="E22" s="15">
        <v>294.95</v>
      </c>
      <c r="F22" s="15">
        <v>470.85</v>
      </c>
      <c r="G22" s="15">
        <v>393.2</v>
      </c>
      <c r="H22" s="15">
        <v>715.3</v>
      </c>
      <c r="I22" s="15"/>
    </row>
    <row r="23" spans="2:9" x14ac:dyDescent="0.35">
      <c r="B23" s="15"/>
      <c r="C23" s="15"/>
      <c r="D23" s="15"/>
      <c r="E23" s="15"/>
      <c r="F23" s="15"/>
      <c r="G23" s="15"/>
      <c r="H23" s="15"/>
      <c r="I23" s="15"/>
    </row>
  </sheetData>
  <mergeCells count="3">
    <mergeCell ref="A1:H2"/>
    <mergeCell ref="A9:I10"/>
    <mergeCell ref="B17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vsk420saravanakumar@gmail.com</dc:creator>
  <cp:lastModifiedBy>vsk420saravanakumar@gmail.com</cp:lastModifiedBy>
  <dcterms:created xsi:type="dcterms:W3CDTF">2026-07-13T05:42:27Z</dcterms:created>
  <dcterms:modified xsi:type="dcterms:W3CDTF">2026-07-14T03:13:35Z</dcterms:modified>
</cp:coreProperties>
</file>